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<sst xmlns="http://schemas.openxmlformats.org/spreadsheetml/2006/main" count="340" uniqueCount="239">
  <si>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</si>
  <si>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</si>
  <si>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</si>
  <si>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</si>
  <si>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</si>
  <si>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</si>
  <si>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</si>
  <si>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</si>
  <si>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</si>
  <si>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#Column Name Error:' Remarks</t>
  </si>
  <si>
    <t>Bridge Rectifier</t>
  </si>
  <si>
    <t>BR1, BR2</t>
  </si>
  <si>
    <t>50A 700mV@2A 2A 60V MBS Bridge Rectifiers ROHS</t>
  </si>
  <si>
    <t>Custom</t>
  </si>
  <si>
    <t>MB26S</t>
  </si>
  <si>
    <t>MDD</t>
  </si>
  <si>
    <t>-</t>
  </si>
  <si>
    <t>Capacitor</t>
  </si>
  <si>
    <t>C1, C2, C8, C9</t>
  </si>
  <si>
    <t>2200uF 25V 720mA@120Hz ±20% SMD,D16xL16.5mm Aluminum Electrolytic Capacitors - SMD ROHS</t>
  </si>
  <si>
    <t>VT1E222M1616</t>
  </si>
  <si>
    <t>ROQANG</t>
  </si>
  <si>
    <t>2200uF</t>
  </si>
  <si>
    <t>C3, C10, C11, C12, C14</t>
  </si>
  <si>
    <t>CAP CER 10UF 16V X5R 0603</t>
  </si>
  <si>
    <t>Cap-0603</t>
  </si>
  <si>
    <t>CC0603KRX5R7BB106</t>
  </si>
  <si>
    <t>Yageo</t>
  </si>
  <si>
    <t>10uF</t>
  </si>
  <si>
    <t>Capacitors</t>
  </si>
  <si>
    <t>C4</t>
  </si>
  <si>
    <t>CAP CER 47UF 10V X5R 0805</t>
  </si>
  <si>
    <t>Cap-0805</t>
  </si>
  <si>
    <t>GRM21BR61A476ME15L</t>
  </si>
  <si>
    <t>Murata</t>
  </si>
  <si>
    <t>47uF</t>
  </si>
  <si>
    <t>C5, C6, C15</t>
  </si>
  <si>
    <t>CAP CER 22UF 25V X5R 0805</t>
  </si>
  <si>
    <t>CC0805MKX5R8BB226</t>
  </si>
  <si>
    <t>22uF</t>
  </si>
  <si>
    <t>C7, C13, C19, C21, C29</t>
  </si>
  <si>
    <t>CAP CER 0.1UF 50V X7R 0402</t>
  </si>
  <si>
    <t>cap-0402</t>
  </si>
  <si>
    <t>C1005X7R1H104KT000F</t>
  </si>
  <si>
    <t>TDK</t>
  </si>
  <si>
    <t>100nF</t>
  </si>
  <si>
    <t>C16</t>
  </si>
  <si>
    <t>CAP CER 1UF 25V X5R 0402</t>
  </si>
  <si>
    <t>Cap-0402</t>
  </si>
  <si>
    <t>CL05A105KA5NQNC</t>
  </si>
  <si>
    <t>Samsung</t>
  </si>
  <si>
    <t>1uF</t>
  </si>
  <si>
    <t>C17</t>
  </si>
  <si>
    <t>CAP CER 4.7UF 25V X5R 0603</t>
  </si>
  <si>
    <t>CL10A475KA8NQNC</t>
  </si>
  <si>
    <t>4.7UF</t>
  </si>
  <si>
    <t>C18, C22</t>
  </si>
  <si>
    <t>CAP CER 12PF 50V C0G/NP0 0402</t>
  </si>
  <si>
    <t>GJM1555C1H120GB01D</t>
  </si>
  <si>
    <t>12pF</t>
  </si>
  <si>
    <t>C20, C24</t>
  </si>
  <si>
    <t>50V 9pF C0G 0402 Multilayer Ceramic Capacitors MLCC - SMD/SMT ROHS</t>
  </si>
  <si>
    <t>0402CG9R0C500NT</t>
  </si>
  <si>
    <t>FH (Guangdong Fenghua Advanced Tech)</t>
  </si>
  <si>
    <t>9pF</t>
  </si>
  <si>
    <t>C23</t>
  </si>
  <si>
    <t>CAP CER 100PF 50V C0G/NPO 0402</t>
  </si>
  <si>
    <t>CC0402JRNPO9BN101</t>
  </si>
  <si>
    <t>100pF</t>
  </si>
  <si>
    <t>C25, C27</t>
  </si>
  <si>
    <t>DNP</t>
  </si>
  <si>
    <t>C26</t>
  </si>
  <si>
    <t>CAP CER 0.8PF 50V C0G/NPO 0402</t>
  </si>
  <si>
    <t>CC0402BRNPO9BNR80</t>
  </si>
  <si>
    <t>0.8pF</t>
  </si>
  <si>
    <t>C28</t>
  </si>
  <si>
    <t>CAP CER 1.2PF 50V C0G/NPO 0402</t>
  </si>
  <si>
    <t>CC0402BRNPO9BN1R2</t>
  </si>
  <si>
    <t>1.2pF</t>
  </si>
  <si>
    <t>Diode</t>
  </si>
  <si>
    <t>D1, D2</t>
  </si>
  <si>
    <t>60V 700mV@2A 2A SMA(DO-214AC) Schottky Barrier Diodes (SBD) ROHS</t>
  </si>
  <si>
    <t>SMA(DO-214AC)</t>
  </si>
  <si>
    <t>SS26</t>
  </si>
  <si>
    <t>D3</t>
  </si>
  <si>
    <t>DIODE ZENER 3.3V 200MW SOD323F</t>
  </si>
  <si>
    <t>SOD323F</t>
  </si>
  <si>
    <t>MM3Z3V3B</t>
  </si>
  <si>
    <t>ON Semiconductor / Fairchild</t>
  </si>
  <si>
    <t>Wire to Board Connector</t>
  </si>
  <si>
    <t>J1</t>
  </si>
  <si>
    <t>1x4P 4P 1 Tin 2.54mm 4 3A Brass Direct Insert Plugin,P=2.54mm Wire To Board Connector ROHS</t>
  </si>
  <si>
    <t>X9556WV-04-N0V01</t>
  </si>
  <si>
    <t>XKB Connection</t>
  </si>
  <si>
    <t>Male Header</t>
  </si>
  <si>
    <t>J2</t>
  </si>
  <si>
    <t>Gold 250V 3A Straight Square Pins 2.5mm 2P 260℃ 6mm -40℃~+105℃ 3mm 2.54mm Plugin Black Brass 1x2P Plugin,P=2.54mm Pin Headers ROHS</t>
  </si>
  <si>
    <t>X6511WV-02H-C60D30</t>
  </si>
  <si>
    <t>XKB</t>
  </si>
  <si>
    <t>UFL Connector</t>
  </si>
  <si>
    <t>J3</t>
  </si>
  <si>
    <t>CONN U.FL RCPT STR 50 OHM SMD</t>
  </si>
  <si>
    <t>U.FL-R-SMT-1(80)</t>
  </si>
  <si>
    <t>Hirose</t>
  </si>
  <si>
    <t>JST Connector</t>
  </si>
  <si>
    <t>J5</t>
  </si>
  <si>
    <t>Conn Shrouded Header (4 Sides) HDR 2 POS 2.5mm Solder ST Thru-Hole Box</t>
  </si>
  <si>
    <t>B2B-XH-A(LF)(SN)</t>
  </si>
  <si>
    <t>JST</t>
  </si>
  <si>
    <t>Pogo Connector</t>
  </si>
  <si>
    <t>J6</t>
  </si>
  <si>
    <t>Pogo Pad 2.5mm 4 Pin</t>
  </si>
  <si>
    <t>POGO Connector 4 Pin</t>
  </si>
  <si>
    <t>Inductor</t>
  </si>
  <si>
    <t>L1</t>
  </si>
  <si>
    <t>6A 1.5uH ±20% 10.5A SMD,4.1x4.1mm Power Inductors ROHS</t>
  </si>
  <si>
    <t>FTC404020S1R5MGCA</t>
  </si>
  <si>
    <t>cjiang (Changjiang Microelectronics Tech)</t>
  </si>
  <si>
    <t>1.5uH</t>
  </si>
  <si>
    <t>L2</t>
  </si>
  <si>
    <t>FIXED IND 15NH 400MA 0.45OHM SMD</t>
  </si>
  <si>
    <t>IND-0402</t>
  </si>
  <si>
    <t>LQG15HN15NJ02D</t>
  </si>
  <si>
    <t>15nH</t>
  </si>
  <si>
    <t>Inductors</t>
  </si>
  <si>
    <t>L3</t>
  </si>
  <si>
    <t>FIXED IND 10UH 80MA 360 MOHM SMD</t>
  </si>
  <si>
    <t>IND-0603 (1608 Metric)</t>
  </si>
  <si>
    <t>LBMF1608T100K</t>
  </si>
  <si>
    <t>Taiyo Yuden</t>
  </si>
  <si>
    <t>10uH</t>
  </si>
  <si>
    <t>L4</t>
  </si>
  <si>
    <t>FIXED IND 3.9NH 350MA 350MOHM SM</t>
  </si>
  <si>
    <t>IND-0201</t>
  </si>
  <si>
    <t>LQP03TG3N9B02D</t>
  </si>
  <si>
    <t>3.9nH</t>
  </si>
  <si>
    <t>LED</t>
  </si>
  <si>
    <t>LED1</t>
  </si>
  <si>
    <t>Emerald 0603 Light Emitting Diodes (LED) ROHS</t>
  </si>
  <si>
    <t>LED-0603</t>
  </si>
  <si>
    <t>NCD0603G2</t>
  </si>
  <si>
    <t>Foshan NationStar Optoelectronics</t>
  </si>
  <si>
    <t>LED2</t>
  </si>
  <si>
    <t>RED LED 0603 Light Emitting Diodes</t>
  </si>
  <si>
    <t>NCD0603R3</t>
  </si>
  <si>
    <t>LED3, LED4, LED5, LED6, LED7, LED8, LED9, LED10, LED11, LED12</t>
  </si>
  <si>
    <t>White light 0603 Light Emitting Diodes (LED) ROHS</t>
  </si>
  <si>
    <t>NCD0603W3</t>
  </si>
  <si>
    <t>MOSFETs</t>
  </si>
  <si>
    <t>Q1</t>
  </si>
  <si>
    <t>MOSFET N-CH 30V 2.2A SUPERSOT3</t>
  </si>
  <si>
    <t>SOT-23</t>
  </si>
  <si>
    <t>FDN337N</t>
  </si>
  <si>
    <t>Resistor</t>
  </si>
  <si>
    <t>R1</t>
  </si>
  <si>
    <t>RES SMD 523K OHM 0.1% 1/10W 0603</t>
  </si>
  <si>
    <t>Res-0603</t>
  </si>
  <si>
    <t>RT0603BRD07523KL</t>
  </si>
  <si>
    <t>523K</t>
  </si>
  <si>
    <t>Resistors, Resistor</t>
  </si>
  <si>
    <t>R2, R4</t>
  </si>
  <si>
    <t>RES 100K OHM 1% 1/10W 0603, RES SMD 100K OHM 0.1% 1/10W 0603</t>
  </si>
  <si>
    <t>RC0603FR-07100KL, RT0603BRD07100KL</t>
  </si>
  <si>
    <t>100K</t>
  </si>
  <si>
    <t>R3, R10, R14</t>
  </si>
  <si>
    <t>RES SMD 10K Ohm 1% 1/10W 0603</t>
  </si>
  <si>
    <t>RC0603FR-0710KL</t>
  </si>
  <si>
    <t>10K</t>
  </si>
  <si>
    <t>R5</t>
  </si>
  <si>
    <t>RES  SMD 330R 100 mW 0603</t>
  </si>
  <si>
    <t>RC0603JR-07330RL</t>
  </si>
  <si>
    <t>330R</t>
  </si>
  <si>
    <t>R6</t>
  </si>
  <si>
    <t>RES 0.47 OHM 5% 1/10W 0603</t>
  </si>
  <si>
    <t>RL0603JR-070R47L</t>
  </si>
  <si>
    <t>0.47R</t>
  </si>
  <si>
    <t>R7</t>
  </si>
  <si>
    <t>RES SMD 1K OHM 1% 1/10W 0603</t>
  </si>
  <si>
    <t>RC0603FR-071KL</t>
  </si>
  <si>
    <t>1K</t>
  </si>
  <si>
    <t>R8</t>
  </si>
  <si>
    <t>RES SMD 2K OHM 1% 1/10W 0603</t>
  </si>
  <si>
    <t>RC0603FR-072KL</t>
  </si>
  <si>
    <t>2K</t>
  </si>
  <si>
    <t>R9</t>
  </si>
  <si>
    <t>RES SMD 33K OHM 0.1% 1/10W 0603</t>
  </si>
  <si>
    <t>RT0603BRD0733KL</t>
  </si>
  <si>
    <t>33K</t>
  </si>
  <si>
    <t>Resistors</t>
  </si>
  <si>
    <t>R11</t>
  </si>
  <si>
    <t>RES 0 OHM JUMPER 1/16W 0402</t>
  </si>
  <si>
    <t>Res-0402</t>
  </si>
  <si>
    <t>RC0402FR-070RL</t>
  </si>
  <si>
    <t>R12</t>
  </si>
  <si>
    <t>0R</t>
  </si>
  <si>
    <t>R13</t>
  </si>
  <si>
    <t>RES SMD 220 OHM 1% 1/10W 0603</t>
  </si>
  <si>
    <t>CRCW0603220RFKEA</t>
  </si>
  <si>
    <t>Vishay Dale</t>
  </si>
  <si>
    <t>220R</t>
  </si>
  <si>
    <t>R15, R16, R17, R18, R19, R20, R21, R22, R23, R24</t>
  </si>
  <si>
    <t>RES SMD 120 OHM 0.1% 1/10W 0603</t>
  </si>
  <si>
    <t>RT0603BRB07120RL</t>
  </si>
  <si>
    <t>120R</t>
  </si>
  <si>
    <t>IC</t>
  </si>
  <si>
    <t>U1</t>
  </si>
  <si>
    <t>IC REG BCK BST ADJ 3.6A 15VQFN</t>
  </si>
  <si>
    <t>VQFN-15-HR(2.5x3)</t>
  </si>
  <si>
    <t>TPS63070RNMR</t>
  </si>
  <si>
    <t>Texas Instruments</t>
  </si>
  <si>
    <t>U2</t>
  </si>
  <si>
    <t>3.7V~6.5V Lithium-ion 1 1000mA ESOP-8 Battery Management ROHS</t>
  </si>
  <si>
    <t>ESOP-8</t>
  </si>
  <si>
    <t>TP4056</t>
  </si>
  <si>
    <t>UMW(Youtai Semiconductor Co., Ltd.)</t>
  </si>
  <si>
    <t>U3</t>
  </si>
  <si>
    <t>15V 1.3V @ 800mA Fixed 3.3V SOT-223 Linear Voltage Regulators (LDO) ROHS</t>
  </si>
  <si>
    <t>SOT- 223</t>
  </si>
  <si>
    <t>AZ1117CH-3.3TRG1</t>
  </si>
  <si>
    <t>Diodes Incorporated</t>
  </si>
  <si>
    <t>U4</t>
  </si>
  <si>
    <t>IC RF TXRX+MCU BLE 32QFN</t>
  </si>
  <si>
    <t>32-QFN (5x5)</t>
  </si>
  <si>
    <t>NRF52810-QCAA-R</t>
  </si>
  <si>
    <t>Nordic Semiconductor</t>
  </si>
  <si>
    <t>Crystal</t>
  </si>
  <si>
    <t>X1</t>
  </si>
  <si>
    <t>CRYSTAL 32.0000MHZ 8PF SMD</t>
  </si>
  <si>
    <t>SMD2016-4P</t>
  </si>
  <si>
    <t>Q22FA12800025</t>
  </si>
  <si>
    <t>Epson</t>
  </si>
  <si>
    <t>32MHz</t>
  </si>
  <si>
    <t>Crystals</t>
  </si>
  <si>
    <t>X2</t>
  </si>
  <si>
    <t>32.768kHz 7pF ±20ppm MC-146 Crystals ROHS</t>
  </si>
  <si>
    <t>MC-146_</t>
  </si>
  <si>
    <t>Q13MC14620001</t>
  </si>
  <si>
    <t>Seiko Epson</t>
  </si>
  <si>
    <t>32.768kHz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</si>
</sst>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9"/>
  <sheetViews>
    <sheetView tabSelected="1" topLeftCell="E29" workbookViewId="0">
      <selection activeCell="K40" sqref="K40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24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</v>
      </c>
      <c r="K3" s="9"/>
    </row>
    <row r="4" ht="36.75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12" t="s">
        <v>13</v>
      </c>
      <c r="G4" s="13" t="s">
        <v>20</v>
      </c>
      <c r="H4" s="12" t="s">
        <v>21</v>
      </c>
      <c r="I4" s="13" t="s">
        <v>22</v>
      </c>
      <c r="J4" s="12">
        <v>4</v>
      </c>
      <c r="K4" s="12"/>
    </row>
    <row r="5" ht="15.75" spans="1:11">
      <c r="A5" s="2"/>
      <c r="B5" s="7">
        <f>ROW(B5)-ROW($B$2)</f>
        <v>3</v>
      </c>
      <c r="C5" s="8" t="s">
        <v>17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5</v>
      </c>
      <c r="K5" s="9"/>
    </row>
    <row r="6" ht="15.75" spans="1:11">
      <c r="A6" s="2"/>
      <c r="B6" s="7">
        <f>ROW(B6)-ROW($B$2)</f>
        <v>4</v>
      </c>
      <c r="C6" s="11" t="s">
        <v>29</v>
      </c>
      <c r="D6" s="12" t="s">
        <v>30</v>
      </c>
      <c r="E6" s="13" t="s">
        <v>31</v>
      </c>
      <c r="F6" s="12" t="s">
        <v>32</v>
      </c>
      <c r="G6" s="13" t="s">
        <v>33</v>
      </c>
      <c r="H6" s="12" t="s">
        <v>34</v>
      </c>
      <c r="I6" s="13" t="s">
        <v>35</v>
      </c>
      <c r="J6" s="12">
        <v>1</v>
      </c>
      <c r="K6" s="12"/>
    </row>
    <row r="7" ht="15.75" spans="1:11">
      <c r="A7" s="2"/>
      <c r="B7" s="7">
        <f>ROW(B7)-ROW($B$2)</f>
        <v>5</v>
      </c>
      <c r="C7" s="8" t="s">
        <v>17</v>
      </c>
      <c r="D7" s="9" t="s">
        <v>36</v>
      </c>
      <c r="E7" s="10" t="s">
        <v>37</v>
      </c>
      <c r="F7" s="9" t="s">
        <v>32</v>
      </c>
      <c r="G7" s="10" t="s">
        <v>38</v>
      </c>
      <c r="H7" s="9" t="s">
        <v>27</v>
      </c>
      <c r="I7" s="10" t="s">
        <v>39</v>
      </c>
      <c r="J7" s="9">
        <v>3</v>
      </c>
      <c r="K7" s="9"/>
    </row>
    <row r="8" ht="15.75" spans="1:11">
      <c r="A8" s="2"/>
      <c r="B8" s="7">
        <f>ROW(B8)-ROW($B$2)</f>
        <v>6</v>
      </c>
      <c r="C8" s="11" t="s">
        <v>17</v>
      </c>
      <c r="D8" s="12" t="s">
        <v>40</v>
      </c>
      <c r="E8" s="13" t="s">
        <v>41</v>
      </c>
      <c r="F8" s="12" t="s">
        <v>42</v>
      </c>
      <c r="G8" s="13" t="s">
        <v>43</v>
      </c>
      <c r="H8" s="12" t="s">
        <v>44</v>
      </c>
      <c r="I8" s="13" t="s">
        <v>45</v>
      </c>
      <c r="J8" s="12">
        <v>5</v>
      </c>
      <c r="K8" s="12"/>
    </row>
    <row r="9" ht="15.75" spans="1:11">
      <c r="A9" s="2"/>
      <c r="B9" s="7">
        <f>ROW(B9)-ROW($B$2)</f>
        <v>7</v>
      </c>
      <c r="C9" s="8" t="s">
        <v>17</v>
      </c>
      <c r="D9" s="9" t="s">
        <v>46</v>
      </c>
      <c r="E9" s="10" t="s">
        <v>47</v>
      </c>
      <c r="F9" s="9" t="s">
        <v>48</v>
      </c>
      <c r="G9" s="10" t="s">
        <v>49</v>
      </c>
      <c r="H9" s="9" t="s">
        <v>50</v>
      </c>
      <c r="I9" s="10" t="s">
        <v>51</v>
      </c>
      <c r="J9" s="9">
        <v>1</v>
      </c>
      <c r="K9" s="9"/>
    </row>
    <row r="10" spans="1:11">
      <c r="A10" s="2"/>
      <c r="B10" s="7">
        <f>ROW(B10)-ROW($B$2)</f>
        <v>8</v>
      </c>
      <c r="C10" s="11" t="s">
        <v>17</v>
      </c>
      <c r="D10" s="12" t="s">
        <v>52</v>
      </c>
      <c r="E10" s="13" t="s">
        <v>53</v>
      </c>
      <c r="F10" s="12" t="s">
        <v>25</v>
      </c>
      <c r="G10" s="13" t="s">
        <v>54</v>
      </c>
      <c r="H10" s="12" t="s">
        <v>50</v>
      </c>
      <c r="I10" s="13" t="s">
        <v>55</v>
      </c>
      <c r="J10" s="12">
        <v>1</v>
      </c>
      <c r="K10" s="12"/>
    </row>
    <row r="11" spans="1:11">
      <c r="A11" s="2"/>
      <c r="B11" s="7">
        <f>ROW(B11)-ROW($B$2)</f>
        <v>9</v>
      </c>
      <c r="C11" s="8" t="s">
        <v>17</v>
      </c>
      <c r="D11" s="9" t="s">
        <v>56</v>
      </c>
      <c r="E11" s="10" t="s">
        <v>57</v>
      </c>
      <c r="F11" s="9" t="s">
        <v>48</v>
      </c>
      <c r="G11" s="10" t="s">
        <v>58</v>
      </c>
      <c r="H11" s="9" t="s">
        <v>34</v>
      </c>
      <c r="I11" s="10" t="s">
        <v>59</v>
      </c>
      <c r="J11" s="9">
        <v>2</v>
      </c>
      <c r="K11" s="9"/>
    </row>
    <row r="12" ht="24.75" spans="1:11">
      <c r="A12" s="2"/>
      <c r="B12" s="7">
        <f>ROW(B12)-ROW($B$2)</f>
        <v>10</v>
      </c>
      <c r="C12" s="11" t="s">
        <v>17</v>
      </c>
      <c r="D12" s="12" t="s">
        <v>60</v>
      </c>
      <c r="E12" s="13" t="s">
        <v>61</v>
      </c>
      <c r="F12" s="12" t="s">
        <v>48</v>
      </c>
      <c r="G12" s="13" t="s">
        <v>62</v>
      </c>
      <c r="H12" s="12" t="s">
        <v>63</v>
      </c>
      <c r="I12" s="13" t="s">
        <v>64</v>
      </c>
      <c r="J12" s="12">
        <v>2</v>
      </c>
      <c r="K12" s="12"/>
    </row>
    <row r="13" spans="1:11">
      <c r="A13" s="2"/>
      <c r="B13" s="7">
        <f>ROW(B13)-ROW($B$2)</f>
        <v>11</v>
      </c>
      <c r="C13" s="8" t="s">
        <v>17</v>
      </c>
      <c r="D13" s="9" t="s">
        <v>65</v>
      </c>
      <c r="E13" s="10" t="s">
        <v>66</v>
      </c>
      <c r="F13" s="9" t="s">
        <v>48</v>
      </c>
      <c r="G13" s="10" t="s">
        <v>67</v>
      </c>
      <c r="H13" s="9" t="s">
        <v>27</v>
      </c>
      <c r="I13" s="10" t="s">
        <v>68</v>
      </c>
      <c r="J13" s="9">
        <v>1</v>
      </c>
      <c r="K13" s="9"/>
    </row>
    <row r="14" spans="1:11">
      <c r="A14" s="2"/>
      <c r="B14" s="7">
        <f>ROW(B14)-ROW($B$2)</f>
        <v>12</v>
      </c>
      <c r="C14" s="11" t="s">
        <v>17</v>
      </c>
      <c r="D14" s="12" t="s">
        <v>69</v>
      </c>
      <c r="E14" s="13" t="s">
        <v>41</v>
      </c>
      <c r="F14" s="12" t="s">
        <v>42</v>
      </c>
      <c r="G14" s="13" t="s">
        <v>43</v>
      </c>
      <c r="H14" s="12" t="s">
        <v>44</v>
      </c>
      <c r="I14" s="13" t="s">
        <v>70</v>
      </c>
      <c r="J14" s="12">
        <v>2</v>
      </c>
      <c r="K14" s="15" t="s">
        <v>70</v>
      </c>
    </row>
    <row r="15" spans="1:11">
      <c r="A15" s="2"/>
      <c r="B15" s="7">
        <f>ROW(B15)-ROW($B$2)</f>
        <v>13</v>
      </c>
      <c r="C15" s="8" t="s">
        <v>17</v>
      </c>
      <c r="D15" s="9" t="s">
        <v>71</v>
      </c>
      <c r="E15" s="10" t="s">
        <v>72</v>
      </c>
      <c r="F15" s="9" t="s">
        <v>48</v>
      </c>
      <c r="G15" s="10" t="s">
        <v>73</v>
      </c>
      <c r="H15" s="9" t="s">
        <v>27</v>
      </c>
      <c r="I15" s="10" t="s">
        <v>74</v>
      </c>
      <c r="J15" s="9">
        <v>1</v>
      </c>
      <c r="K15" s="9"/>
    </row>
    <row r="16" ht="15.75" spans="1:11">
      <c r="A16" s="2"/>
      <c r="B16" s="7">
        <f>ROW(B16)-ROW($B$2)</f>
        <v>14</v>
      </c>
      <c r="C16" s="11" t="s">
        <v>17</v>
      </c>
      <c r="D16" s="12" t="s">
        <v>75</v>
      </c>
      <c r="E16" s="13" t="s">
        <v>76</v>
      </c>
      <c r="F16" s="12" t="s">
        <v>48</v>
      </c>
      <c r="G16" s="13" t="s">
        <v>77</v>
      </c>
      <c r="H16" s="12" t="s">
        <v>27</v>
      </c>
      <c r="I16" s="13" t="s">
        <v>78</v>
      </c>
      <c r="J16" s="12">
        <v>1</v>
      </c>
      <c r="K16" s="12"/>
    </row>
    <row r="17" ht="24.75" spans="1:11">
      <c r="A17" s="2"/>
      <c r="B17" s="7">
        <f>ROW(B17)-ROW($B$2)</f>
        <v>15</v>
      </c>
      <c r="C17" s="8" t="s">
        <v>79</v>
      </c>
      <c r="D17" s="9" t="s">
        <v>80</v>
      </c>
      <c r="E17" s="10" t="s">
        <v>81</v>
      </c>
      <c r="F17" s="9" t="s">
        <v>82</v>
      </c>
      <c r="G17" s="10" t="s">
        <v>83</v>
      </c>
      <c r="H17" s="9" t="s">
        <v>15</v>
      </c>
      <c r="I17" s="10" t="s">
        <v>16</v>
      </c>
      <c r="J17" s="9">
        <v>2</v>
      </c>
      <c r="K17" s="9"/>
    </row>
    <row r="18" ht="24.75" spans="1:11">
      <c r="A18" s="2"/>
      <c r="B18" s="7">
        <f>ROW(B18)-ROW($B$2)</f>
        <v>16</v>
      </c>
      <c r="C18" s="11" t="s">
        <v>79</v>
      </c>
      <c r="D18" s="12" t="s">
        <v>84</v>
      </c>
      <c r="E18" s="13" t="s">
        <v>85</v>
      </c>
      <c r="F18" s="12" t="s">
        <v>86</v>
      </c>
      <c r="G18" s="13" t="s">
        <v>87</v>
      </c>
      <c r="H18" s="12" t="s">
        <v>88</v>
      </c>
      <c r="I18" s="13" t="s">
        <v>16</v>
      </c>
      <c r="J18" s="12">
        <v>1</v>
      </c>
      <c r="K18" s="12"/>
    </row>
    <row r="19" ht="36.75" spans="1:11">
      <c r="A19" s="2"/>
      <c r="B19" s="7">
        <f>ROW(B19)-ROW($B$2)</f>
        <v>17</v>
      </c>
      <c r="C19" s="8" t="s">
        <v>89</v>
      </c>
      <c r="D19" s="9" t="s">
        <v>90</v>
      </c>
      <c r="E19" s="10" t="s">
        <v>91</v>
      </c>
      <c r="F19" s="9" t="s">
        <v>13</v>
      </c>
      <c r="G19" s="10" t="s">
        <v>92</v>
      </c>
      <c r="H19" s="9" t="s">
        <v>93</v>
      </c>
      <c r="I19" s="10" t="s">
        <v>16</v>
      </c>
      <c r="J19" s="9">
        <v>1</v>
      </c>
      <c r="K19" s="9"/>
    </row>
    <row r="20" ht="48.75" spans="1:11">
      <c r="A20" s="2"/>
      <c r="B20" s="7">
        <f>ROW(B20)-ROW($B$2)</f>
        <v>18</v>
      </c>
      <c r="C20" s="11" t="s">
        <v>94</v>
      </c>
      <c r="D20" s="12" t="s">
        <v>95</v>
      </c>
      <c r="E20" s="13" t="s">
        <v>96</v>
      </c>
      <c r="F20" s="9" t="s">
        <v>13</v>
      </c>
      <c r="G20" s="13" t="s">
        <v>97</v>
      </c>
      <c r="H20" s="12" t="s">
        <v>98</v>
      </c>
      <c r="I20" s="13" t="s">
        <v>16</v>
      </c>
      <c r="J20" s="12">
        <v>1</v>
      </c>
      <c r="K20" s="12"/>
    </row>
    <row r="21" spans="1:11">
      <c r="A21" s="2"/>
      <c r="B21" s="7">
        <f>ROW(B21)-ROW($B$2)</f>
        <v>19</v>
      </c>
      <c r="C21" s="8" t="s">
        <v>99</v>
      </c>
      <c r="D21" s="9" t="s">
        <v>100</v>
      </c>
      <c r="E21" s="10" t="s">
        <v>101</v>
      </c>
      <c r="F21" s="9" t="s">
        <v>13</v>
      </c>
      <c r="G21" s="10" t="s">
        <v>102</v>
      </c>
      <c r="H21" s="9" t="s">
        <v>103</v>
      </c>
      <c r="I21" s="10" t="s">
        <v>16</v>
      </c>
      <c r="J21" s="9">
        <v>1</v>
      </c>
      <c r="K21" s="9"/>
    </row>
    <row r="22" ht="24.75" spans="1:11">
      <c r="A22" s="2"/>
      <c r="B22" s="7">
        <f>ROW(B22)-ROW($B$2)</f>
        <v>20</v>
      </c>
      <c r="C22" s="11" t="s">
        <v>104</v>
      </c>
      <c r="D22" s="12" t="s">
        <v>105</v>
      </c>
      <c r="E22" s="13" t="s">
        <v>106</v>
      </c>
      <c r="F22" s="9" t="s">
        <v>13</v>
      </c>
      <c r="G22" s="13" t="s">
        <v>107</v>
      </c>
      <c r="H22" s="12" t="s">
        <v>108</v>
      </c>
      <c r="I22" s="13" t="s">
        <v>16</v>
      </c>
      <c r="J22" s="12">
        <v>1</v>
      </c>
      <c r="K22" s="12"/>
    </row>
    <row r="23" spans="1:11">
      <c r="A23" s="2"/>
      <c r="B23" s="7">
        <f>ROW(B23)-ROW($B$2)</f>
        <v>21</v>
      </c>
      <c r="C23" s="8" t="s">
        <v>109</v>
      </c>
      <c r="D23" s="9" t="s">
        <v>110</v>
      </c>
      <c r="E23" s="10" t="s">
        <v>111</v>
      </c>
      <c r="F23" s="9" t="s">
        <v>13</v>
      </c>
      <c r="G23" s="10" t="s">
        <v>112</v>
      </c>
      <c r="H23" s="9"/>
      <c r="I23" s="10" t="s">
        <v>16</v>
      </c>
      <c r="J23" s="9">
        <v>1</v>
      </c>
      <c r="K23" s="9"/>
    </row>
    <row r="24" ht="24.75" spans="1:11">
      <c r="A24" s="2"/>
      <c r="B24" s="7">
        <f>ROW(B24)-ROW($B$2)</f>
        <v>22</v>
      </c>
      <c r="C24" s="11" t="s">
        <v>113</v>
      </c>
      <c r="D24" s="12" t="s">
        <v>114</v>
      </c>
      <c r="E24" s="13" t="s">
        <v>115</v>
      </c>
      <c r="F24" s="9" t="s">
        <v>13</v>
      </c>
      <c r="G24" s="13" t="s">
        <v>116</v>
      </c>
      <c r="H24" s="12" t="s">
        <v>117</v>
      </c>
      <c r="I24" s="13" t="s">
        <v>118</v>
      </c>
      <c r="J24" s="12">
        <v>1</v>
      </c>
      <c r="K24" s="12"/>
    </row>
    <row r="25" spans="1:11">
      <c r="A25" s="2"/>
      <c r="B25" s="7">
        <f>ROW(B25)-ROW($B$2)</f>
        <v>23</v>
      </c>
      <c r="C25" s="8" t="s">
        <v>113</v>
      </c>
      <c r="D25" s="9" t="s">
        <v>119</v>
      </c>
      <c r="E25" s="10" t="s">
        <v>120</v>
      </c>
      <c r="F25" s="9" t="s">
        <v>121</v>
      </c>
      <c r="G25" s="10" t="s">
        <v>122</v>
      </c>
      <c r="H25" s="9" t="s">
        <v>34</v>
      </c>
      <c r="I25" s="10" t="s">
        <v>123</v>
      </c>
      <c r="J25" s="9">
        <v>1</v>
      </c>
      <c r="K25" s="9"/>
    </row>
    <row r="26" ht="15.75" spans="1:11">
      <c r="A26" s="2"/>
      <c r="B26" s="7">
        <f>ROW(B26)-ROW($B$2)</f>
        <v>24</v>
      </c>
      <c r="C26" s="11" t="s">
        <v>124</v>
      </c>
      <c r="D26" s="12" t="s">
        <v>125</v>
      </c>
      <c r="E26" s="13" t="s">
        <v>126</v>
      </c>
      <c r="F26" s="12" t="s">
        <v>127</v>
      </c>
      <c r="G26" s="13" t="s">
        <v>128</v>
      </c>
      <c r="H26" s="12" t="s">
        <v>129</v>
      </c>
      <c r="I26" s="13" t="s">
        <v>130</v>
      </c>
      <c r="J26" s="12">
        <v>1</v>
      </c>
      <c r="K26" s="12"/>
    </row>
    <row r="27" ht="15.75" spans="1:11">
      <c r="A27" s="2"/>
      <c r="B27" s="7">
        <f>ROW(B27)-ROW($B$2)</f>
        <v>25</v>
      </c>
      <c r="C27" s="8" t="s">
        <v>124</v>
      </c>
      <c r="D27" s="9" t="s">
        <v>131</v>
      </c>
      <c r="E27" s="10" t="s">
        <v>132</v>
      </c>
      <c r="F27" s="9" t="s">
        <v>133</v>
      </c>
      <c r="G27" s="10" t="s">
        <v>134</v>
      </c>
      <c r="H27" s="9" t="s">
        <v>34</v>
      </c>
      <c r="I27" s="10" t="s">
        <v>135</v>
      </c>
      <c r="J27" s="9">
        <v>1</v>
      </c>
      <c r="K27" s="9"/>
    </row>
    <row r="28" ht="24.75" spans="1:11">
      <c r="A28" s="2"/>
      <c r="B28" s="7">
        <f>ROW(B28)-ROW($B$2)</f>
        <v>26</v>
      </c>
      <c r="C28" s="11" t="s">
        <v>136</v>
      </c>
      <c r="D28" s="12" t="s">
        <v>137</v>
      </c>
      <c r="E28" s="13" t="s">
        <v>138</v>
      </c>
      <c r="F28" s="12" t="s">
        <v>139</v>
      </c>
      <c r="G28" s="13" t="s">
        <v>140</v>
      </c>
      <c r="H28" s="12" t="s">
        <v>141</v>
      </c>
      <c r="I28" s="13" t="s">
        <v>16</v>
      </c>
      <c r="J28" s="12">
        <v>1</v>
      </c>
      <c r="K28" s="12"/>
    </row>
    <row r="29" ht="24.75" spans="1:11">
      <c r="A29" s="2"/>
      <c r="B29" s="7">
        <f>ROW(B29)-ROW($B$2)</f>
        <v>27</v>
      </c>
      <c r="C29" s="8" t="s">
        <v>136</v>
      </c>
      <c r="D29" s="9" t="s">
        <v>142</v>
      </c>
      <c r="E29" s="10" t="s">
        <v>143</v>
      </c>
      <c r="F29" s="9" t="s">
        <v>139</v>
      </c>
      <c r="G29" s="10" t="s">
        <v>144</v>
      </c>
      <c r="H29" s="9" t="s">
        <v>141</v>
      </c>
      <c r="I29" s="10" t="s">
        <v>16</v>
      </c>
      <c r="J29" s="9">
        <v>1</v>
      </c>
      <c r="K29" s="9"/>
    </row>
    <row r="30" ht="24.75" spans="1:11">
      <c r="A30" s="2"/>
      <c r="B30" s="7">
        <f>ROW(B30)-ROW($B$2)</f>
        <v>28</v>
      </c>
      <c r="C30" s="11" t="s">
        <v>136</v>
      </c>
      <c r="D30" s="12" t="s">
        <v>145</v>
      </c>
      <c r="E30" s="13" t="s">
        <v>146</v>
      </c>
      <c r="F30" s="12" t="s">
        <v>139</v>
      </c>
      <c r="G30" s="13" t="s">
        <v>147</v>
      </c>
      <c r="H30" s="12" t="s">
        <v>141</v>
      </c>
      <c r="I30" s="13" t="s">
        <v>16</v>
      </c>
      <c r="J30" s="12">
        <v>10</v>
      </c>
      <c r="K30" s="12"/>
    </row>
    <row r="31" ht="24.75" spans="1:11">
      <c r="A31" s="2"/>
      <c r="B31" s="7">
        <f>ROW(B31)-ROW($B$2)</f>
        <v>29</v>
      </c>
      <c r="C31" s="8" t="s">
        <v>148</v>
      </c>
      <c r="D31" s="9" t="s">
        <v>149</v>
      </c>
      <c r="E31" s="10" t="s">
        <v>150</v>
      </c>
      <c r="F31" s="9" t="s">
        <v>151</v>
      </c>
      <c r="G31" s="10" t="s">
        <v>152</v>
      </c>
      <c r="H31" s="9" t="s">
        <v>88</v>
      </c>
      <c r="I31" s="10" t="s">
        <v>16</v>
      </c>
      <c r="J31" s="9">
        <v>1</v>
      </c>
      <c r="K31" s="9"/>
    </row>
    <row r="32" ht="15.75" spans="1:11">
      <c r="A32" s="2"/>
      <c r="B32" s="7">
        <f>ROW(B32)-ROW($B$2)</f>
        <v>30</v>
      </c>
      <c r="C32" s="11" t="s">
        <v>153</v>
      </c>
      <c r="D32" s="12" t="s">
        <v>154</v>
      </c>
      <c r="E32" s="13" t="s">
        <v>155</v>
      </c>
      <c r="F32" s="12" t="s">
        <v>156</v>
      </c>
      <c r="G32" s="13" t="s">
        <v>157</v>
      </c>
      <c r="H32" s="12" t="s">
        <v>27</v>
      </c>
      <c r="I32" s="13" t="s">
        <v>158</v>
      </c>
      <c r="J32" s="12">
        <v>1</v>
      </c>
      <c r="K32" s="12"/>
    </row>
    <row r="33" ht="24.75" spans="1:11">
      <c r="A33" s="2"/>
      <c r="B33" s="7">
        <f>ROW(B33)-ROW($B$2)</f>
        <v>31</v>
      </c>
      <c r="C33" s="8" t="s">
        <v>159</v>
      </c>
      <c r="D33" s="9" t="s">
        <v>160</v>
      </c>
      <c r="E33" s="10" t="s">
        <v>161</v>
      </c>
      <c r="F33" s="9" t="s">
        <v>156</v>
      </c>
      <c r="G33" s="10" t="s">
        <v>162</v>
      </c>
      <c r="H33" s="9" t="s">
        <v>27</v>
      </c>
      <c r="I33" s="10" t="s">
        <v>163</v>
      </c>
      <c r="J33" s="9">
        <v>2</v>
      </c>
      <c r="K33" s="9"/>
    </row>
    <row r="34" ht="15.75" spans="1:11">
      <c r="A34" s="2"/>
      <c r="B34" s="7">
        <f>ROW(B34)-ROW($B$2)</f>
        <v>32</v>
      </c>
      <c r="C34" s="11" t="s">
        <v>153</v>
      </c>
      <c r="D34" s="12" t="s">
        <v>164</v>
      </c>
      <c r="E34" s="13" t="s">
        <v>165</v>
      </c>
      <c r="F34" s="12" t="s">
        <v>156</v>
      </c>
      <c r="G34" s="13" t="s">
        <v>166</v>
      </c>
      <c r="H34" s="12" t="s">
        <v>27</v>
      </c>
      <c r="I34" s="13" t="s">
        <v>167</v>
      </c>
      <c r="J34" s="12">
        <v>3</v>
      </c>
      <c r="K34" s="12"/>
    </row>
    <row r="35" ht="15.75" spans="1:11">
      <c r="A35" s="2"/>
      <c r="B35" s="7">
        <f>ROW(B35)-ROW($B$2)</f>
        <v>33</v>
      </c>
      <c r="C35" s="8" t="s">
        <v>153</v>
      </c>
      <c r="D35" s="9" t="s">
        <v>168</v>
      </c>
      <c r="E35" s="10" t="s">
        <v>169</v>
      </c>
      <c r="F35" s="9" t="s">
        <v>156</v>
      </c>
      <c r="G35" s="10" t="s">
        <v>170</v>
      </c>
      <c r="H35" s="9" t="s">
        <v>27</v>
      </c>
      <c r="I35" s="10" t="s">
        <v>171</v>
      </c>
      <c r="J35" s="9">
        <v>1</v>
      </c>
      <c r="K35" s="9"/>
    </row>
    <row r="36" ht="15.75" spans="1:11">
      <c r="A36" s="2"/>
      <c r="B36" s="7">
        <f>ROW(B36)-ROW($B$2)</f>
        <v>34</v>
      </c>
      <c r="C36" s="11" t="s">
        <v>153</v>
      </c>
      <c r="D36" s="12" t="s">
        <v>172</v>
      </c>
      <c r="E36" s="13" t="s">
        <v>173</v>
      </c>
      <c r="F36" s="12" t="s">
        <v>156</v>
      </c>
      <c r="G36" s="13" t="s">
        <v>174</v>
      </c>
      <c r="H36" s="12" t="s">
        <v>27</v>
      </c>
      <c r="I36" s="13" t="s">
        <v>175</v>
      </c>
      <c r="J36" s="12">
        <v>1</v>
      </c>
      <c r="K36" s="12"/>
    </row>
    <row r="37" ht="15.75" spans="1:11">
      <c r="A37" s="2"/>
      <c r="B37" s="7">
        <f>ROW(B37)-ROW($B$2)</f>
        <v>35</v>
      </c>
      <c r="C37" s="8" t="s">
        <v>153</v>
      </c>
      <c r="D37" s="9" t="s">
        <v>176</v>
      </c>
      <c r="E37" s="10" t="s">
        <v>177</v>
      </c>
      <c r="F37" s="9" t="s">
        <v>156</v>
      </c>
      <c r="G37" s="10" t="s">
        <v>178</v>
      </c>
      <c r="H37" s="9" t="s">
        <v>27</v>
      </c>
      <c r="I37" s="10" t="s">
        <v>179</v>
      </c>
      <c r="J37" s="9">
        <v>1</v>
      </c>
      <c r="K37" s="9"/>
    </row>
    <row r="38" ht="15.75" spans="1:11">
      <c r="A38" s="2"/>
      <c r="B38" s="7">
        <f>ROW(B38)-ROW($B$2)</f>
        <v>36</v>
      </c>
      <c r="C38" s="8" t="s">
        <v>153</v>
      </c>
      <c r="D38" s="12" t="s">
        <v>180</v>
      </c>
      <c r="E38" s="13" t="s">
        <v>181</v>
      </c>
      <c r="F38" s="12" t="s">
        <v>156</v>
      </c>
      <c r="G38" s="13" t="s">
        <v>182</v>
      </c>
      <c r="H38" s="12" t="s">
        <v>27</v>
      </c>
      <c r="I38" s="13" t="s">
        <v>183</v>
      </c>
      <c r="J38" s="12">
        <v>1</v>
      </c>
      <c r="K38" s="12"/>
    </row>
    <row r="39" ht="15.75" spans="1:11">
      <c r="A39" s="2"/>
      <c r="B39" s="7">
        <f>ROW(B39)-ROW($B$2)</f>
        <v>37</v>
      </c>
      <c r="C39" s="8" t="s">
        <v>153</v>
      </c>
      <c r="D39" s="9" t="s">
        <v>184</v>
      </c>
      <c r="E39" s="10" t="s">
        <v>185</v>
      </c>
      <c r="F39" s="9" t="s">
        <v>156</v>
      </c>
      <c r="G39" s="10" t="s">
        <v>186</v>
      </c>
      <c r="H39" s="9" t="s">
        <v>27</v>
      </c>
      <c r="I39" s="10" t="s">
        <v>187</v>
      </c>
      <c r="J39" s="9">
        <v>1</v>
      </c>
      <c r="K39" s="9"/>
    </row>
    <row r="40" ht="15.75" spans="1:11">
      <c r="A40" s="2"/>
      <c r="B40" s="7">
        <f>ROW(B40)-ROW($B$2)</f>
        <v>38</v>
      </c>
      <c r="C40" s="11" t="s">
        <v>188</v>
      </c>
      <c r="D40" s="12" t="s">
        <v>189</v>
      </c>
      <c r="E40" s="13" t="s">
        <v>190</v>
      </c>
      <c r="F40" s="12" t="s">
        <v>191</v>
      </c>
      <c r="G40" s="13" t="s">
        <v>192</v>
      </c>
      <c r="H40" s="12" t="s">
        <v>27</v>
      </c>
      <c r="I40" s="13" t="s">
        <v>70</v>
      </c>
      <c r="J40" s="12">
        <v>1</v>
      </c>
      <c r="K40" s="15" t="s">
        <v>70</v>
      </c>
    </row>
    <row r="41" spans="1:11">
      <c r="A41" s="2"/>
      <c r="B41" s="7">
        <f>ROW(B41)-ROW($B$2)</f>
        <v>39</v>
      </c>
      <c r="C41" s="8" t="s">
        <v>188</v>
      </c>
      <c r="D41" s="9" t="s">
        <v>193</v>
      </c>
      <c r="E41" s="10" t="s">
        <v>190</v>
      </c>
      <c r="F41" s="9" t="s">
        <v>191</v>
      </c>
      <c r="G41" s="10" t="s">
        <v>192</v>
      </c>
      <c r="H41" s="9" t="s">
        <v>27</v>
      </c>
      <c r="I41" s="10" t="s">
        <v>194</v>
      </c>
      <c r="J41" s="9">
        <v>1</v>
      </c>
      <c r="K41" s="9"/>
    </row>
    <row r="42" spans="1:11">
      <c r="A42" s="2"/>
      <c r="B42" s="7">
        <f>ROW(B42)-ROW($B$2)</f>
        <v>40</v>
      </c>
      <c r="C42" s="11" t="s">
        <v>153</v>
      </c>
      <c r="D42" s="12" t="s">
        <v>195</v>
      </c>
      <c r="E42" s="13" t="s">
        <v>196</v>
      </c>
      <c r="F42" s="12" t="s">
        <v>156</v>
      </c>
      <c r="G42" s="13" t="s">
        <v>197</v>
      </c>
      <c r="H42" s="12" t="s">
        <v>198</v>
      </c>
      <c r="I42" s="13" t="s">
        <v>199</v>
      </c>
      <c r="J42" s="12">
        <v>1</v>
      </c>
      <c r="K42" s="12"/>
    </row>
    <row r="43" ht="15.75" spans="1:11">
      <c r="A43" s="2"/>
      <c r="B43" s="7">
        <f>ROW(B43)-ROW($B$2)</f>
        <v>41</v>
      </c>
      <c r="C43" s="8" t="s">
        <v>153</v>
      </c>
      <c r="D43" s="9" t="s">
        <v>200</v>
      </c>
      <c r="E43" s="10" t="s">
        <v>201</v>
      </c>
      <c r="F43" s="9" t="s">
        <v>156</v>
      </c>
      <c r="G43" s="10" t="s">
        <v>202</v>
      </c>
      <c r="H43" s="9" t="s">
        <v>27</v>
      </c>
      <c r="I43" s="10" t="s">
        <v>203</v>
      </c>
      <c r="J43" s="9">
        <v>10</v>
      </c>
      <c r="K43" s="9"/>
    </row>
    <row r="44" spans="1:11">
      <c r="A44" s="2"/>
      <c r="B44" s="7">
        <f>ROW(B44)-ROW($B$2)</f>
        <v>42</v>
      </c>
      <c r="C44" s="11" t="s">
        <v>204</v>
      </c>
      <c r="D44" s="12" t="s">
        <v>205</v>
      </c>
      <c r="E44" s="13" t="s">
        <v>206</v>
      </c>
      <c r="F44" s="12" t="s">
        <v>207</v>
      </c>
      <c r="G44" s="13" t="s">
        <v>208</v>
      </c>
      <c r="H44" s="12" t="s">
        <v>209</v>
      </c>
      <c r="I44" s="13" t="s">
        <v>16</v>
      </c>
      <c r="J44" s="12">
        <v>1</v>
      </c>
      <c r="K44" s="12"/>
    </row>
    <row r="45" ht="24.75" spans="1:11">
      <c r="A45" s="2"/>
      <c r="B45" s="7">
        <f>ROW(B45)-ROW($B$2)</f>
        <v>43</v>
      </c>
      <c r="C45" s="8" t="s">
        <v>204</v>
      </c>
      <c r="D45" s="9" t="s">
        <v>210</v>
      </c>
      <c r="E45" s="10" t="s">
        <v>211</v>
      </c>
      <c r="F45" s="9" t="s">
        <v>212</v>
      </c>
      <c r="G45" s="10" t="s">
        <v>213</v>
      </c>
      <c r="H45" s="9" t="s">
        <v>214</v>
      </c>
      <c r="I45" s="10" t="s">
        <v>16</v>
      </c>
      <c r="J45" s="9">
        <v>1</v>
      </c>
      <c r="K45" s="9"/>
    </row>
    <row r="46" ht="24.75" spans="1:11">
      <c r="A46" s="2"/>
      <c r="B46" s="7">
        <f>ROW(B46)-ROW($B$2)</f>
        <v>44</v>
      </c>
      <c r="C46" s="11" t="s">
        <v>204</v>
      </c>
      <c r="D46" s="12" t="s">
        <v>215</v>
      </c>
      <c r="E46" s="13" t="s">
        <v>216</v>
      </c>
      <c r="F46" s="12" t="s">
        <v>217</v>
      </c>
      <c r="G46" s="13" t="s">
        <v>218</v>
      </c>
      <c r="H46" s="12" t="s">
        <v>219</v>
      </c>
      <c r="I46" s="13" t="s">
        <v>16</v>
      </c>
      <c r="J46" s="12">
        <v>1</v>
      </c>
      <c r="K46" s="12"/>
    </row>
    <row r="47" spans="1:11">
      <c r="A47" s="2"/>
      <c r="B47" s="7">
        <f>ROW(B47)-ROW($B$2)</f>
        <v>45</v>
      </c>
      <c r="C47" s="8" t="s">
        <v>204</v>
      </c>
      <c r="D47" s="9" t="s">
        <v>220</v>
      </c>
      <c r="E47" s="10" t="s">
        <v>221</v>
      </c>
      <c r="F47" s="9" t="s">
        <v>222</v>
      </c>
      <c r="G47" s="10" t="s">
        <v>223</v>
      </c>
      <c r="H47" s="9" t="s">
        <v>224</v>
      </c>
      <c r="I47" s="10" t="s">
        <v>16</v>
      </c>
      <c r="J47" s="9">
        <v>1</v>
      </c>
      <c r="K47" s="9"/>
    </row>
    <row r="48" ht="15.75" spans="1:11">
      <c r="A48" s="2"/>
      <c r="B48" s="7">
        <f>ROW(B48)-ROW($B$2)</f>
        <v>46</v>
      </c>
      <c r="C48" s="11" t="s">
        <v>225</v>
      </c>
      <c r="D48" s="12" t="s">
        <v>226</v>
      </c>
      <c r="E48" s="13" t="s">
        <v>227</v>
      </c>
      <c r="F48" s="12" t="s">
        <v>228</v>
      </c>
      <c r="G48" s="13" t="s">
        <v>229</v>
      </c>
      <c r="H48" s="12" t="s">
        <v>230</v>
      </c>
      <c r="I48" s="13" t="s">
        <v>231</v>
      </c>
      <c r="J48" s="12">
        <v>1</v>
      </c>
      <c r="K48" s="12"/>
    </row>
    <row r="49" ht="24.75" spans="1:11">
      <c r="A49" s="2"/>
      <c r="B49" s="7">
        <f>ROW(B49)-ROW($B$2)</f>
        <v>47</v>
      </c>
      <c r="C49" s="8" t="s">
        <v>232</v>
      </c>
      <c r="D49" s="9" t="s">
        <v>233</v>
      </c>
      <c r="E49" s="10" t="s">
        <v>234</v>
      </c>
      <c r="F49" s="9" t="s">
        <v>235</v>
      </c>
      <c r="G49" s="10" t="s">
        <v>236</v>
      </c>
      <c r="H49" s="9" t="s">
        <v>237</v>
      </c>
      <c r="I49" s="10" t="s">
        <v>238</v>
      </c>
      <c r="J49" s="9">
        <v>1</v>
      </c>
      <c r="K49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2025-04-24T11:05:20Z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56D7A4569D3E4A5A8B98270BAC312498_13</vt:lpwstr>
  </property>
  <property fmtid="{D5CDD505-2E9C-101B-9397-08002B2CF9AE}" pid="3" name="KSOProductBuildVer">
    <vt:lpwstr>1033-12.2.0.20795</vt:lpwstr>
  </property>
</Properties>
</file>